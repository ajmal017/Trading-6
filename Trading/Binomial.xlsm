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Trading\"/>
    </mc:Choice>
  </mc:AlternateContent>
  <xr:revisionPtr revIDLastSave="0" documentId="8_{4A246C9C-EBEE-4E8C-85CA-729C8F0598B5}" xr6:coauthVersionLast="45" xr6:coauthVersionMax="45" xr10:uidLastSave="{00000000-0000-0000-0000-000000000000}"/>
  <bookViews>
    <workbookView xWindow="-28800" yWindow="0" windowWidth="21600" windowHeight="11505" activeTab="1" xr2:uid="{951BC449-D08D-497F-97A1-6FCBC0EE4B06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1" l="1"/>
  <c r="H21" i="1"/>
  <c r="H19" i="1"/>
  <c r="F12" i="1"/>
  <c r="G13" i="1"/>
  <c r="G11" i="1"/>
  <c r="B16" i="1"/>
  <c r="B15" i="1"/>
  <c r="H14" i="1"/>
  <c r="H12" i="1"/>
  <c r="H10" i="1"/>
  <c r="B10" i="1"/>
  <c r="B11" i="1" s="1"/>
  <c r="G5" i="1" s="1"/>
  <c r="H6" i="1" s="1"/>
  <c r="E11" i="2" a="1"/>
  <c r="D11" i="2" a="1"/>
  <c r="E9" i="2" a="1"/>
  <c r="D9" i="2" a="1"/>
  <c r="C9" i="2" a="1"/>
  <c r="B18" i="1" a="1"/>
  <c r="E11" i="2" l="1"/>
  <c r="D11" i="2"/>
  <c r="E9" i="2"/>
  <c r="D9" i="2"/>
  <c r="C9" i="2"/>
  <c r="B18" i="1"/>
  <c r="G22" i="1"/>
  <c r="G20" i="1"/>
  <c r="G3" i="1"/>
  <c r="C11" i="2" a="1"/>
  <c r="C11" i="2" l="1"/>
  <c r="F21" i="1"/>
  <c r="H4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<sst xmlns="http://schemas.openxmlformats.org/spreadsheetml/2006/main" count="25" uniqueCount="23">
  <si>
    <t>Stock Price (S)</t>
  </si>
  <si>
    <t>Strike/Exercise Price (K)</t>
  </si>
  <si>
    <t>Time to Maturity (in Years) (T)</t>
  </si>
  <si>
    <t>Risk-free Rate (rf)</t>
  </si>
  <si>
    <r>
      <t>Volatility (</t>
    </r>
    <r>
      <rPr>
        <sz val="11"/>
        <color theme="1"/>
        <rFont val="Calibri"/>
        <family val="2"/>
      </rPr>
      <t>σ)</t>
    </r>
  </si>
  <si>
    <t>Number of Steps (n)</t>
  </si>
  <si>
    <t>Option Type (Call or Put)</t>
  </si>
  <si>
    <t>Up Factor (u)</t>
  </si>
  <si>
    <t>Down Factor (d)</t>
  </si>
  <si>
    <t>Call</t>
  </si>
  <si>
    <t>dt</t>
  </si>
  <si>
    <t>Risk-neutral probability (p)</t>
  </si>
  <si>
    <t>q</t>
  </si>
  <si>
    <t>Put</t>
  </si>
  <si>
    <t>Option Price</t>
  </si>
  <si>
    <t>S</t>
  </si>
  <si>
    <t>K</t>
  </si>
  <si>
    <t>r</t>
  </si>
  <si>
    <t>sigma</t>
  </si>
  <si>
    <t>T</t>
  </si>
  <si>
    <t>BSC</t>
  </si>
  <si>
    <t>I.V.</t>
  </si>
  <si>
    <t>BSCImVol(S, K, r, q, T, callmktprice)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</si>
</sst>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872FD-F136-4606-B086-C6A2882401A9}">
  <sheetPr codeName="Sheet1"/>
  <dimension ref="A1:H23"/>
  <sheetViews>
    <sheetView workbookViewId="0">
      <selection activeCell="B8" sqref="B8"/>
    </sheetView>
  </sheetViews>
  <sheetFormatPr defaultRowHeight="15" x14ac:dyDescent="0.25"/>
  <cols>
    <col min="1" max="1" width="27.85546875" bestFit="1" customWidth="1"/>
  </cols>
  <sheetData>
    <row r="1" spans="1:8" x14ac:dyDescent="0.25">
      <c r="F1">
        <v>0</v>
      </c>
      <c r="G1">
        <v>1</v>
      </c>
      <c r="H1">
        <v>2</v>
      </c>
    </row>
    <row r="2" spans="1:8" x14ac:dyDescent="0.25">
      <c r="A2" t="s">
        <v>0</v>
      </c>
      <c r="B2">
        <v>40</v>
      </c>
      <c r="H2">
        <f>G3*B10</f>
        <v>59.672987905650814</v>
      </c>
    </row>
    <row r="3" spans="1:8" x14ac:dyDescent="0.25">
      <c r="A3" t="s">
        <v>1</v>
      </c>
      <c r="B3">
        <v>40</v>
      </c>
      <c r="G3">
        <f>F4*B10</f>
        <v>48.856110326406792</v>
      </c>
    </row>
    <row r="4" spans="1:8" x14ac:dyDescent="0.25">
      <c r="A4" t="s">
        <v>2</v>
      </c>
      <c r="B4">
        <v>2</v>
      </c>
      <c r="F4">
        <v>40</v>
      </c>
      <c r="H4">
        <f>G3*B11</f>
        <v>40</v>
      </c>
    </row>
    <row r="5" spans="1:8" x14ac:dyDescent="0.25">
      <c r="A5" t="s">
        <v>3</v>
      </c>
      <c r="B5" s="1">
        <v>0.05</v>
      </c>
      <c r="G5">
        <f>F4*B11</f>
        <v>32.749230123119276</v>
      </c>
    </row>
    <row r="6" spans="1:8" x14ac:dyDescent="0.25">
      <c r="A6" t="s">
        <v>4</v>
      </c>
      <c r="B6" s="1">
        <v>0.2</v>
      </c>
      <c r="H6">
        <f>G5*B11</f>
        <v>26.812801841425571</v>
      </c>
    </row>
    <row r="7" spans="1:8" x14ac:dyDescent="0.25">
      <c r="A7" t="s">
        <v>5</v>
      </c>
      <c r="B7">
        <v>100</v>
      </c>
    </row>
    <row r="8" spans="1:8" x14ac:dyDescent="0.25">
      <c r="A8" t="s">
        <v>6</v>
      </c>
      <c r="B8" t="s">
        <v>13</v>
      </c>
      <c r="F8" s="2" t="s">
        <v>9</v>
      </c>
    </row>
    <row r="9" spans="1:8" x14ac:dyDescent="0.25">
      <c r="F9" s="2">
        <v>0</v>
      </c>
      <c r="G9" s="2">
        <v>1</v>
      </c>
      <c r="H9" s="2">
        <v>2</v>
      </c>
    </row>
    <row r="10" spans="1:8" x14ac:dyDescent="0.25">
      <c r="A10" t="s">
        <v>7</v>
      </c>
      <c r="B10">
        <f>EXP(B6*SQRT(B13))</f>
        <v>1.2214027581601699</v>
      </c>
      <c r="H10">
        <f>MAX(0,H2-$B$3)</f>
        <v>19.672987905650814</v>
      </c>
    </row>
    <row r="11" spans="1:8" x14ac:dyDescent="0.25">
      <c r="A11" t="s">
        <v>8</v>
      </c>
      <c r="B11">
        <f>1/B10</f>
        <v>0.81873075307798182</v>
      </c>
      <c r="G11">
        <f>($B$15*H10+$B$16*H12)*EXP(-$B$5*$B$13)</f>
        <v>10.806933346378237</v>
      </c>
    </row>
    <row r="12" spans="1:8" x14ac:dyDescent="0.25">
      <c r="F12">
        <f>($B$15*G11+$B$16*G13)*EXP(-$B$5*$B$13)</f>
        <v>5.9365567097977801</v>
      </c>
      <c r="H12">
        <f>MAX(0,H4-$B$3)</f>
        <v>0</v>
      </c>
    </row>
    <row r="13" spans="1:8" x14ac:dyDescent="0.25">
      <c r="A13" t="s">
        <v>10</v>
      </c>
      <c r="B13">
        <v>1</v>
      </c>
      <c r="G13">
        <f>($B$15*H12+$B$16*H14)*EXP(-$B$5*$B$13)</f>
        <v>0</v>
      </c>
    </row>
    <row r="14" spans="1:8" x14ac:dyDescent="0.25">
      <c r="H14">
        <f>MAX(0,H6-$B$3)</f>
        <v>0</v>
      </c>
    </row>
    <row r="15" spans="1:8" x14ac:dyDescent="0.25">
      <c r="A15" t="s">
        <v>11</v>
      </c>
      <c r="B15">
        <f>(EXP(B5*B13)-B11)/(B10-B11)</f>
        <v>0.57749319635612428</v>
      </c>
    </row>
    <row r="16" spans="1:8" x14ac:dyDescent="0.25">
      <c r="A16" t="s">
        <v>12</v>
      </c>
      <c r="B16">
        <f>1-B15</f>
        <v>0.42250680364387572</v>
      </c>
    </row>
    <row r="17" spans="1:8" x14ac:dyDescent="0.25">
      <c r="F17" s="2" t="s">
        <v>13</v>
      </c>
    </row>
    <row r="18" spans="1:8" x14ac:dyDescent="0.25">
      <c r="A18" t="s">
        <v>14</v>
      </c>
      <c r="B18" cm="1">
        <f t="array" ref="B18">BinomEuro(B2,B3,B4,B5,B6,B7,B8)</f>
        <v>2.6329256028926484</v>
      </c>
      <c r="F18" s="2">
        <v>0</v>
      </c>
      <c r="G18" s="2">
        <v>1</v>
      </c>
      <c r="H18" s="2">
        <v>2</v>
      </c>
    </row>
    <row r="19" spans="1:8" x14ac:dyDescent="0.25">
      <c r="H19">
        <f>MAX(0,$B$3-H2)</f>
        <v>0</v>
      </c>
    </row>
    <row r="20" spans="1:8" x14ac:dyDescent="0.25">
      <c r="G20">
        <f>($B$15*H19+$B$16*H21)*EXP(-$B$5*$B$13)</f>
        <v>0</v>
      </c>
    </row>
    <row r="21" spans="1:8" x14ac:dyDescent="0.25">
      <c r="F21">
        <f>($B$15*G20+$B$16*G22)*EXP(-$B$5*$B$13)</f>
        <v>2.1300534312361576</v>
      </c>
      <c r="H21">
        <f>MAX(0,$B$3-H4)</f>
        <v>0</v>
      </c>
    </row>
    <row r="22" spans="1:8" x14ac:dyDescent="0.25">
      <c r="G22">
        <f>($B$15*H21+$B$16*H23)*EXP(-$B$5*$B$13)</f>
        <v>5.2999468569092842</v>
      </c>
    </row>
    <row r="23" spans="1:8" x14ac:dyDescent="0.25">
      <c r="H23">
        <f>MAX(0,$B$3-H6)</f>
        <v>13.187198158574429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B44E-4DE7-4066-92F4-7F2FF42DF3AA}">
  <sheetPr codeName="Sheet2"/>
  <dimension ref="B2:E12"/>
  <sheetViews>
    <sheetView tabSelected="1" workbookViewId="0">
      <selection activeCell="C14" sqref="C14"/>
    </sheetView>
  </sheetViews>
  <sheetFormatPr defaultRowHeight="15" x14ac:dyDescent="0.25"/>
  <sheetData>
    <row r="2" spans="2:5" x14ac:dyDescent="0.25">
      <c r="B2" s="3" t="s">
        <v>15</v>
      </c>
      <c r="C2" s="3">
        <v>100</v>
      </c>
      <c r="D2" s="3">
        <v>100</v>
      </c>
      <c r="E2" s="3">
        <v>100</v>
      </c>
    </row>
    <row r="3" spans="2:5" x14ac:dyDescent="0.25">
      <c r="B3" s="3" t="s">
        <v>16</v>
      </c>
      <c r="C3" s="3">
        <v>100</v>
      </c>
      <c r="D3" s="3">
        <v>100</v>
      </c>
      <c r="E3" s="3">
        <v>100</v>
      </c>
    </row>
    <row r="4" spans="2:5" x14ac:dyDescent="0.25">
      <c r="B4" s="3" t="s">
        <v>17</v>
      </c>
      <c r="C4" s="3">
        <v>0.05</v>
      </c>
      <c r="D4" s="3">
        <v>0.05</v>
      </c>
      <c r="E4" s="3">
        <v>0.05</v>
      </c>
    </row>
    <row r="5" spans="2:5" x14ac:dyDescent="0.25">
      <c r="B5" s="3" t="s">
        <v>12</v>
      </c>
      <c r="C5" s="3">
        <v>0</v>
      </c>
      <c r="D5" s="3">
        <v>0</v>
      </c>
      <c r="E5" s="3">
        <v>0</v>
      </c>
    </row>
    <row r="6" spans="2:5" x14ac:dyDescent="0.25">
      <c r="B6" s="3" t="s">
        <v>18</v>
      </c>
      <c r="C6" s="3">
        <v>0.2</v>
      </c>
      <c r="D6" s="3">
        <v>0.214633557</v>
      </c>
      <c r="E6" s="3">
        <v>0.01</v>
      </c>
    </row>
    <row r="7" spans="2:5" x14ac:dyDescent="0.25">
      <c r="B7" s="3" t="s">
        <v>19</v>
      </c>
      <c r="C7" s="3">
        <v>1</v>
      </c>
      <c r="D7" s="3">
        <v>1</v>
      </c>
      <c r="E7" s="3">
        <v>1</v>
      </c>
    </row>
    <row r="8" spans="2:5" x14ac:dyDescent="0.25">
      <c r="B8" s="3"/>
      <c r="C8" s="3"/>
      <c r="D8" s="3"/>
      <c r="E8" s="3"/>
    </row>
    <row r="9" spans="2:5" x14ac:dyDescent="0.25">
      <c r="B9" s="3" t="s">
        <v>20</v>
      </c>
      <c r="C9" s="3" cm="1">
        <f t="array" ref="C9">BSC(C2,C3,C4,C5,C6,C7)</f>
        <v>10.450583572185565</v>
      </c>
      <c r="D9" s="3" cm="1">
        <f t="array" ref="D9">BSC(D2,D3,D4,D5,D6,D7)</f>
        <v>11.00065892741241</v>
      </c>
      <c r="E9" s="3" cm="1">
        <f t="array" ref="E9">BSC(E2,E3,E4,E5,E6,E7)</f>
        <v>4.8770576020696694</v>
      </c>
    </row>
    <row r="10" spans="2:5" x14ac:dyDescent="0.25">
      <c r="B10" s="3"/>
      <c r="C10" s="3"/>
      <c r="D10" s="3"/>
      <c r="E10" s="3"/>
    </row>
    <row r="11" spans="2:5" x14ac:dyDescent="0.25">
      <c r="B11" s="3" t="s">
        <v>21</v>
      </c>
      <c r="C11" s="3" cm="1">
        <f t="array" ref="C11">BSCImVol(C2,C3,C4,C5,C7,C9)</f>
        <v>0.20000000018626451</v>
      </c>
      <c r="D11" s="3" cm="1">
        <f t="array" ref="D11">BSCImVol(D2,D3,D4,D5,D7,D9)</f>
        <v>0.21463355515152216</v>
      </c>
      <c r="E11" s="3" cm="1">
        <f t="array" ref="E11">BSCImVol(E2,E3,E4,E5,E7,E9)</f>
        <v>9.9999969825148582E-3</v>
      </c>
    </row>
    <row r="12" spans="2:5" x14ac:dyDescent="0.25">
      <c r="B12" s="3"/>
      <c r="C12" s="3" t="s">
        <v>22</v>
      </c>
      <c r="D12" s="3"/>
      <c r="E1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2020-07-15T17:48:40Z</dcterms:created>
  <dcterms:modified xsi:type="dcterms:W3CDTF">2020-07-15T18:43:51Z</dcterms:modified>
</cp:coreProperties>
</file>